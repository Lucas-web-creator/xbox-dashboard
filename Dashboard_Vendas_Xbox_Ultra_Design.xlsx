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Executivo" sheetId="1" state="visible" r:id="rId1"/>
    <sheet xmlns:r="http://schemas.openxmlformats.org/officeDocument/2006/relationships" name="Evolução Mensal" sheetId="2" state="visible" r:id="rId2"/>
    <sheet xmlns:r="http://schemas.openxmlformats.org/officeDocument/2006/relationships" name="Vendas Detalhadas" sheetId="3" state="visible" r:id="rId3"/>
    <sheet xmlns:r="http://schemas.openxmlformats.org/officeDocument/2006/relationships" name="Serviços e Subscriptions" sheetId="4" state="visible" r:id="rId4"/>
    <sheet xmlns:r="http://schemas.openxmlformats.org/officeDocument/2006/relationships" name="Hardware &amp; Periféricos" sheetId="5" state="visible" r:id="rId5"/>
    <sheet xmlns:r="http://schemas.openxmlformats.org/officeDocument/2006/relationships" name="Desempenho Regi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8"/>
    </font>
    <font>
      <name val="Segoe UI"/>
      <i val="1"/>
      <color rgb="0064748B"/>
      <sz val="10"/>
    </font>
    <font>
      <name val="Segoe UI"/>
      <b val="1"/>
      <color rgb="00475569"/>
      <sz val="9"/>
    </font>
    <font>
      <name val="Segoe UI"/>
      <b val="1"/>
      <color rgb="00107C41"/>
      <sz val="16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b val="1"/>
      <color rgb="000F172A"/>
      <sz val="11"/>
    </font>
    <font>
      <name val="Segoe UI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07C41"/>
        <bgColor rgb="00107C41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7" fillId="4" borderId="1" pivotButton="0" quotePrefix="0" xfId="0"/>
    <xf numFmtId="0" fontId="8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0" fontId="8" fillId="4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Receita por Categoria (%)</a:t>
            </a:r>
          </a:p>
        </rich>
      </tx>
    </title>
    <plotArea>
      <pieChart>
        <varyColors val="1"/>
        <ser>
          <idx val="0"/>
          <order val="0"/>
          <tx>
            <strRef>
              <f>'Dashboard Executivo'!D8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Executivo'!$A$9:$A$12</f>
            </numRef>
          </cat>
          <val>
            <numRef>
              <f>'Dashboard Executivo'!$D$9:$D$12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Realizada por Território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Executivo'!J8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Executivo'!$H$9:$H$12</f>
            </numRef>
          </cat>
          <val>
            <numRef>
              <f>'Dashboard Executivo'!$J$9:$J$12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Receita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Temporal da Receita por Segmento (R$)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Mensal'!B7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'Evolução Mensal'!$A$8:$A$13</f>
            </numRef>
          </cat>
          <val>
            <numRef>
              <f>'Evolução Mensal'!$B$8:$B$13</f>
            </numRef>
          </val>
        </ser>
        <ser>
          <idx val="1"/>
          <order val="1"/>
          <tx>
            <strRef>
              <f>'Evolução Mensal'!C7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'Evolução Mensal'!$A$8:$A$13</f>
            </numRef>
          </cat>
          <val>
            <numRef>
              <f>'Evolução Mensal'!$C$8:$C$13</f>
            </numRef>
          </val>
        </ser>
        <ser>
          <idx val="2"/>
          <order val="2"/>
          <tx>
            <strRef>
              <f>'Evolução Mensal'!D7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'Evolução Mensal'!$A$8:$A$13</f>
            </numRef>
          </cat>
          <val>
            <numRef>
              <f>'Evolução Mensal'!$D$8:$D$13</f>
            </numRef>
          </val>
        </ser>
        <ser>
          <idx val="3"/>
          <order val="3"/>
          <tx>
            <strRef>
              <f>'Evolução Mensal'!E7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'Evolução Mensal'!$A$8:$A$13</f>
            </numRef>
          </cat>
          <val>
            <numRef>
              <f>'Evolução Mensal'!$E$8:$E$13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 (Mês)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Receita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540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900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9" customWidth="1" min="2" max="2"/>
    <col width="84" customWidth="1" min="3" max="3"/>
    <col width="84" customWidth="1" min="4" max="4"/>
    <col width="22" customWidth="1" min="5" max="5"/>
    <col width="21" customWidth="1" min="6" max="6"/>
    <col width="15" customWidth="1" min="7" max="7"/>
    <col width="33" customWidth="1" min="8" max="8"/>
    <col width="17" customWidth="1" min="9" max="9"/>
    <col width="19" customWidth="1" min="10" max="10"/>
    <col width="17" customWidth="1" min="11" max="11"/>
    <col width="15" customWidth="1" min="12" max="12"/>
  </cols>
  <sheetData>
    <row r="1">
      <c r="A1" s="1" t="inlineStr">
        <is>
          <t>XBOX ECOSYSTEM — DASHBOARD EXECUTIVO DE VENDAS</t>
        </is>
      </c>
    </row>
    <row r="2">
      <c r="A2" s="2" t="inlineStr">
        <is>
          <t>Consolidação e inteligência de mercado: vendas de hardware, software, serviços e performance regional.</t>
        </is>
      </c>
    </row>
    <row r="3"/>
    <row r="4">
      <c r="A4" s="3" t="inlineStr">
        <is>
          <t>RECEITA TOTAL DE VENDAS</t>
        </is>
      </c>
      <c r="B4" s="4" t="n"/>
      <c r="C4" s="4" t="n"/>
      <c r="D4" s="3" t="inlineStr">
        <is>
          <t>UNIDADES VENDIDAS</t>
        </is>
      </c>
      <c r="E4" s="4" t="n"/>
      <c r="F4" s="4" t="n"/>
      <c r="G4" s="3" t="inlineStr">
        <is>
          <t>TICKET MÉDIO POR TRANSAÇÃO</t>
        </is>
      </c>
      <c r="H4" s="4" t="n"/>
      <c r="I4" s="4" t="n"/>
      <c r="J4" s="3" t="inlineStr">
        <is>
          <t>ASSINANTES GAME PASS</t>
        </is>
      </c>
      <c r="K4" s="4" t="n"/>
      <c r="L4" s="4" t="n"/>
    </row>
    <row r="5">
      <c r="A5" s="5">
        <f>SUM('Vendas Detalhadas'!J8:J100)</f>
        <v/>
      </c>
      <c r="B5" s="4" t="n"/>
      <c r="C5" s="4" t="n"/>
      <c r="D5" s="6">
        <f>SUM('Vendas Detalhadas'!G8:G100)</f>
        <v/>
      </c>
      <c r="E5" s="4" t="n"/>
      <c r="F5" s="4" t="n"/>
      <c r="G5" s="5">
        <f>AVERAGE('Vendas Detalhadas'!J8:J100)</f>
        <v/>
      </c>
      <c r="H5" s="4" t="n"/>
      <c r="I5" s="4" t="n"/>
      <c r="J5" s="6">
        <f>SUM('Serviços e Subscriptions'!E8:E100)</f>
        <v/>
      </c>
      <c r="K5" s="4" t="n"/>
      <c r="L5" s="4" t="n"/>
    </row>
    <row r="6"/>
    <row r="7">
      <c r="A7" s="7" t="inlineStr">
        <is>
          <t>PERFORMANCE CONSOLIDADA POR CATEGORIA DE PRODUTO</t>
        </is>
      </c>
      <c r="H7" s="7" t="inlineStr">
        <is>
          <t>PERFORMANCE E SHARE REGIONAL</t>
        </is>
      </c>
    </row>
    <row r="8">
      <c r="A8" s="8" t="inlineStr">
        <is>
          <t>Categoria de Produto</t>
        </is>
      </c>
      <c r="B8" s="8" t="inlineStr">
        <is>
          <t>Origem dos Dados</t>
        </is>
      </c>
      <c r="C8" s="8" t="inlineStr">
        <is>
          <t>Unidades Vendidas</t>
        </is>
      </c>
      <c r="D8" s="8" t="inlineStr">
        <is>
          <t>Receita Bruta (R$)</t>
        </is>
      </c>
      <c r="E8" s="8" t="inlineStr">
        <is>
          <t>Ticket Médio (R$)</t>
        </is>
      </c>
      <c r="F8" s="8" t="inlineStr">
        <is>
          <t>Participação (%)</t>
        </is>
      </c>
      <c r="H8" s="9" t="inlineStr">
        <is>
          <t>Região / Território</t>
        </is>
      </c>
      <c r="I8" s="9" t="inlineStr">
        <is>
          <t>Meta (R$)</t>
        </is>
      </c>
      <c r="J8" s="9" t="inlineStr">
        <is>
          <t>Realizado (R$)</t>
        </is>
      </c>
      <c r="K8" s="9" t="inlineStr">
        <is>
          <t>Share (%)</t>
        </is>
      </c>
    </row>
    <row r="9">
      <c r="A9" s="10" t="inlineStr">
        <is>
          <t>Consoles (Hardware)</t>
        </is>
      </c>
      <c r="B9" s="11" t="inlineStr">
        <is>
          <t>Vendas Detalhadas</t>
        </is>
      </c>
      <c r="C9" s="12">
        <f>SUMIFS('Vendas Detalhadas'!G8:G100, 'Vendas Detalhadas'!C8:C100, "Hardware")</f>
        <v/>
      </c>
      <c r="D9" s="13">
        <f>SUMIFS('Vendas Detalhadas'!J8:J100, 'Vendas Detalhadas'!C8:C100, "Hardware")</f>
        <v/>
      </c>
      <c r="E9" s="14">
        <f>D9/C9</f>
        <v/>
      </c>
      <c r="F9" s="15">
        <f>D9/$D$13</f>
        <v/>
      </c>
      <c r="H9" s="10" t="inlineStr">
        <is>
          <t>América do Norte (NA)</t>
        </is>
      </c>
      <c r="I9" s="14" t="n">
        <v>50000000</v>
      </c>
      <c r="J9" s="13" t="n">
        <v>52500000</v>
      </c>
      <c r="K9" s="15">
        <f>J9/$J$13</f>
        <v/>
      </c>
    </row>
    <row r="10">
      <c r="A10" s="16" t="inlineStr">
        <is>
          <t>Jogos (Games / Software)</t>
        </is>
      </c>
      <c r="B10" s="17" t="inlineStr">
        <is>
          <t>Vendas Detalhadas</t>
        </is>
      </c>
      <c r="C10" s="18">
        <f>SUMIFS('Vendas Detalhadas'!G8:G100, 'Vendas Detalhadas'!C8:C100, "Software")</f>
        <v/>
      </c>
      <c r="D10" s="19">
        <f>SUMIFS('Vendas Detalhadas'!J8:J100, 'Vendas Detalhadas'!C8:C100, "Software")</f>
        <v/>
      </c>
      <c r="E10" s="20">
        <f>D10/C10</f>
        <v/>
      </c>
      <c r="F10" s="21">
        <f>D10/$D$13</f>
        <v/>
      </c>
      <c r="H10" s="16" t="inlineStr">
        <is>
          <t>Europa / UK (EMEA)</t>
        </is>
      </c>
      <c r="I10" s="20" t="n">
        <v>35000000</v>
      </c>
      <c r="J10" s="19" t="n">
        <v>31000000</v>
      </c>
      <c r="K10" s="21">
        <f>J10/$J$13</f>
        <v/>
      </c>
    </row>
    <row r="11">
      <c r="A11" s="10" t="inlineStr">
        <is>
          <t>Acessórios &amp; Periféricos</t>
        </is>
      </c>
      <c r="B11" s="11" t="inlineStr">
        <is>
          <t>Vendas Detalhadas</t>
        </is>
      </c>
      <c r="C11" s="12">
        <f>SUMIFS('Vendas Detalhadas'!G8:G100, 'Vendas Detalhadas'!C8:C100, "Acessórios")</f>
        <v/>
      </c>
      <c r="D11" s="13">
        <f>SUMIFS('Vendas Detalhadas'!J8:J100, 'Vendas Detalhadas'!C8:C100, "Acessórios")</f>
        <v/>
      </c>
      <c r="E11" s="14">
        <f>D11/C11</f>
        <v/>
      </c>
      <c r="F11" s="15">
        <f>D11/$D$13</f>
        <v/>
      </c>
      <c r="H11" s="10" t="inlineStr">
        <is>
          <t>América Latina (LATAM)</t>
        </is>
      </c>
      <c r="I11" s="14" t="n">
        <v>15000000</v>
      </c>
      <c r="J11" s="13" t="n">
        <v>18200000</v>
      </c>
      <c r="K11" s="15">
        <f>J11/$J$13</f>
        <v/>
      </c>
    </row>
    <row r="12">
      <c r="A12" s="16" t="inlineStr">
        <is>
          <t>Assinaturas &amp; Serviços (Game Pass)</t>
        </is>
      </c>
      <c r="B12" s="17" t="inlineStr">
        <is>
          <t>Serviços e Subscriptions</t>
        </is>
      </c>
      <c r="C12" s="18">
        <f>SUM('Serviços e Subscriptions'!E8:E100)</f>
        <v/>
      </c>
      <c r="D12" s="19">
        <f>SUM('Serviços e Subscriptions'!F8:F100)</f>
        <v/>
      </c>
      <c r="E12" s="20">
        <f>D12/C12</f>
        <v/>
      </c>
      <c r="F12" s="21">
        <f>D12/$D$13</f>
        <v/>
      </c>
      <c r="H12" s="16" t="inlineStr">
        <is>
          <t>Ásia-Pacífico (APAC)</t>
        </is>
      </c>
      <c r="I12" s="20" t="n">
        <v>20000000</v>
      </c>
      <c r="J12" s="19" t="n">
        <v>16500000</v>
      </c>
      <c r="K12" s="21">
        <f>J12/$J$13</f>
        <v/>
      </c>
    </row>
    <row r="13">
      <c r="A13" s="10" t="inlineStr">
        <is>
          <t>TOTAL ECOSSISTEMA XBOX</t>
        </is>
      </c>
      <c r="B13" s="11" t="inlineStr">
        <is>
          <t>Consolidado Geral</t>
        </is>
      </c>
      <c r="C13" s="22">
        <f>SUM(C9:C12)</f>
        <v/>
      </c>
      <c r="D13" s="13">
        <f>SUM(D9:D12)</f>
        <v/>
      </c>
      <c r="E13" s="13">
        <f>D13/C13</f>
        <v/>
      </c>
      <c r="F13" s="23">
        <f>SUM(F9:F12)</f>
        <v/>
      </c>
      <c r="H13" s="10" t="inlineStr">
        <is>
          <t>TOTAL GLOBAL</t>
        </is>
      </c>
      <c r="I13" s="13">
        <f>SUM(I9:I12)</f>
        <v/>
      </c>
      <c r="J13" s="13">
        <f>SUM(J9:J12)</f>
        <v/>
      </c>
      <c r="K13" s="23">
        <f>SUM(K9:K12)</f>
        <v/>
      </c>
    </row>
  </sheetData>
  <mergeCells count="8">
    <mergeCell ref="J5:L5"/>
    <mergeCell ref="D5:F5"/>
    <mergeCell ref="A5:C5"/>
    <mergeCell ref="G5:I5"/>
    <mergeCell ref="D4:F4"/>
    <mergeCell ref="G4:I4"/>
    <mergeCell ref="J4:L4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26" customWidth="1" min="4" max="4"/>
    <col width="23" customWidth="1" min="5" max="5"/>
  </cols>
  <sheetData>
    <row r="1">
      <c r="A1" s="1" t="inlineStr">
        <is>
          <t>EVOLUÇÃO HISTÓRICA MENSAL DE VENDAS</t>
        </is>
      </c>
    </row>
    <row r="2"/>
    <row r="3"/>
    <row r="4"/>
    <row r="5"/>
    <row r="6"/>
    <row r="7">
      <c r="A7" s="9" t="inlineStr">
        <is>
          <t>Mês</t>
        </is>
      </c>
      <c r="B7" s="9" t="inlineStr">
        <is>
          <t>Receita Hardware (R$)</t>
        </is>
      </c>
      <c r="C7" s="9" t="inlineStr">
        <is>
          <t>Receita Software (R$)</t>
        </is>
      </c>
      <c r="D7" s="9" t="inlineStr">
        <is>
          <t>Receita Serviços (R$)</t>
        </is>
      </c>
      <c r="E7" s="9" t="inlineStr">
        <is>
          <t>Receita Total (R$)</t>
        </is>
      </c>
    </row>
    <row r="8">
      <c r="A8" s="17" t="inlineStr">
        <is>
          <t>Jan/2026</t>
        </is>
      </c>
      <c r="B8" s="20" t="n">
        <v>4500000</v>
      </c>
      <c r="C8" s="20" t="n">
        <v>3200000</v>
      </c>
      <c r="D8" s="20" t="n">
        <v>7100000</v>
      </c>
      <c r="E8" s="20">
        <f>SUM(B8:D8)</f>
        <v/>
      </c>
    </row>
    <row r="9">
      <c r="A9" s="11" t="inlineStr">
        <is>
          <t>Fev/2026</t>
        </is>
      </c>
      <c r="B9" s="14" t="n">
        <v>4800000</v>
      </c>
      <c r="C9" s="14" t="n">
        <v>3500000</v>
      </c>
      <c r="D9" s="14" t="n">
        <v>7200000</v>
      </c>
      <c r="E9" s="14">
        <f>SUM(B9:D9)</f>
        <v/>
      </c>
    </row>
    <row r="10">
      <c r="A10" s="17" t="inlineStr">
        <is>
          <t>Mar/2026</t>
        </is>
      </c>
      <c r="B10" s="20" t="n">
        <v>5100000</v>
      </c>
      <c r="C10" s="20" t="n">
        <v>3900000</v>
      </c>
      <c r="D10" s="20" t="n">
        <v>7400000</v>
      </c>
      <c r="E10" s="20">
        <f>SUM(B10:D10)</f>
        <v/>
      </c>
    </row>
    <row r="11">
      <c r="A11" s="11" t="inlineStr">
        <is>
          <t>Abr/2026</t>
        </is>
      </c>
      <c r="B11" s="14" t="n">
        <v>4900000</v>
      </c>
      <c r="C11" s="14" t="n">
        <v>4100000</v>
      </c>
      <c r="D11" s="14" t="n">
        <v>7600000</v>
      </c>
      <c r="E11" s="14">
        <f>SUM(B11:D11)</f>
        <v/>
      </c>
    </row>
    <row r="12">
      <c r="A12" s="17" t="inlineStr">
        <is>
          <t>Mai/2026</t>
        </is>
      </c>
      <c r="B12" s="20" t="n">
        <v>5300000</v>
      </c>
      <c r="C12" s="20" t="n">
        <v>4400000</v>
      </c>
      <c r="D12" s="20" t="n">
        <v>7800000</v>
      </c>
      <c r="E12" s="20">
        <f>SUM(B12:D12)</f>
        <v/>
      </c>
    </row>
    <row r="13">
      <c r="A13" s="11" t="inlineStr">
        <is>
          <t>Jun/2026</t>
        </is>
      </c>
      <c r="B13" s="14" t="n">
        <v>5800000</v>
      </c>
      <c r="C13" s="14" t="n">
        <v>5000000</v>
      </c>
      <c r="D13" s="14" t="n">
        <v>8100000</v>
      </c>
      <c r="E13" s="14">
        <f>SUM(B13:D13)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41" customWidth="1" min="4" max="4"/>
    <col width="24" customWidth="1" min="5" max="5"/>
    <col width="23" customWidth="1" min="6" max="6"/>
    <col width="17" customWidth="1" min="7" max="7"/>
    <col width="24" customWidth="1" min="8" max="8"/>
    <col width="18" customWidth="1" min="9" max="9"/>
    <col width="23" customWidth="1" min="10" max="10"/>
  </cols>
  <sheetData>
    <row r="1">
      <c r="A1" s="1" t="inlineStr">
        <is>
          <t>BASE DE VENDAS BRUTAS — TRANSAÇÕES DETALHADAS</t>
        </is>
      </c>
    </row>
    <row r="2">
      <c r="A2" s="2" t="inlineStr">
        <is>
          <t>Registro de transações no ecossistema Xbox.</t>
        </is>
      </c>
    </row>
    <row r="3"/>
    <row r="4"/>
    <row r="5"/>
    <row r="6"/>
    <row r="7">
      <c r="A7" s="9" t="inlineStr">
        <is>
          <t>ID Transação</t>
        </is>
      </c>
      <c r="B7" s="9" t="inlineStr">
        <is>
          <t>Data Venda</t>
        </is>
      </c>
      <c r="C7" s="9" t="inlineStr">
        <is>
          <t>Categoria</t>
        </is>
      </c>
      <c r="D7" s="9" t="inlineStr">
        <is>
          <t>SKU / Item</t>
        </is>
      </c>
      <c r="E7" s="9" t="inlineStr">
        <is>
          <t>Plataforma / Modelo</t>
        </is>
      </c>
      <c r="F7" s="9" t="inlineStr">
        <is>
          <t>Canal de Venda</t>
        </is>
      </c>
      <c r="G7" s="9" t="inlineStr">
        <is>
          <t>Qtd Vendida</t>
        </is>
      </c>
      <c r="H7" s="9" t="inlineStr">
        <is>
          <t>Preço Unitário (R$)</t>
        </is>
      </c>
      <c r="I7" s="9" t="inlineStr">
        <is>
          <t>Desconto (R$)</t>
        </is>
      </c>
      <c r="J7" s="9" t="inlineStr">
        <is>
          <t>Receita Total (R$)</t>
        </is>
      </c>
    </row>
    <row r="8">
      <c r="A8" s="17" t="inlineStr">
        <is>
          <t>TX-1001</t>
        </is>
      </c>
      <c r="B8" s="17" t="inlineStr">
        <is>
          <t>10/01/2026</t>
        </is>
      </c>
      <c r="C8" s="17" t="inlineStr">
        <is>
          <t>Hardware</t>
        </is>
      </c>
      <c r="D8" s="24" t="inlineStr">
        <is>
          <t>Xbox Series X 1TB</t>
        </is>
      </c>
      <c r="E8" s="24" t="inlineStr">
        <is>
          <t>Console</t>
        </is>
      </c>
      <c r="F8" s="17" t="inlineStr">
        <is>
          <t>Loja Oficial MS</t>
        </is>
      </c>
      <c r="G8" s="18" t="n">
        <v>10</v>
      </c>
      <c r="H8" s="20" t="n">
        <v>4499</v>
      </c>
      <c r="I8" s="20" t="n">
        <v>200</v>
      </c>
      <c r="J8" s="20">
        <f>(G8*H8)-I8</f>
        <v/>
      </c>
    </row>
    <row r="9">
      <c r="A9" s="11" t="inlineStr">
        <is>
          <t>TX-1002</t>
        </is>
      </c>
      <c r="B9" s="11" t="inlineStr">
        <is>
          <t>12/01/2026</t>
        </is>
      </c>
      <c r="C9" s="11" t="inlineStr">
        <is>
          <t>Hardware</t>
        </is>
      </c>
      <c r="D9" s="25" t="inlineStr">
        <is>
          <t>Xbox Series S 512GB</t>
        </is>
      </c>
      <c r="E9" s="25" t="inlineStr">
        <is>
          <t>Console</t>
        </is>
      </c>
      <c r="F9" s="11" t="inlineStr">
        <is>
          <t>Varejo Online</t>
        </is>
      </c>
      <c r="G9" s="12" t="n">
        <v>25</v>
      </c>
      <c r="H9" s="14" t="n">
        <v>2699</v>
      </c>
      <c r="I9" s="14" t="n">
        <v>100</v>
      </c>
      <c r="J9" s="14">
        <f>(G9*H9)-I9</f>
        <v/>
      </c>
    </row>
    <row r="10">
      <c r="A10" s="17" t="inlineStr">
        <is>
          <t>TX-1003</t>
        </is>
      </c>
      <c r="B10" s="17" t="inlineStr">
        <is>
          <t>15/01/2026</t>
        </is>
      </c>
      <c r="C10" s="17" t="inlineStr">
        <is>
          <t>Software</t>
        </is>
      </c>
      <c r="D10" s="24" t="inlineStr">
        <is>
          <t>Starfield Premium Edition</t>
        </is>
      </c>
      <c r="E10" s="24" t="inlineStr">
        <is>
          <t>Xbox Series / PC</t>
        </is>
      </c>
      <c r="F10" s="17" t="inlineStr">
        <is>
          <t>Xbox Digital Store</t>
        </is>
      </c>
      <c r="G10" s="18" t="n">
        <v>150</v>
      </c>
      <c r="H10" s="20" t="n">
        <v>349</v>
      </c>
      <c r="I10" s="20" t="n">
        <v>0</v>
      </c>
      <c r="J10" s="20">
        <f>(G10*H10)-I10</f>
        <v/>
      </c>
    </row>
    <row r="11">
      <c r="A11" s="11" t="inlineStr">
        <is>
          <t>TX-1004</t>
        </is>
      </c>
      <c r="B11" s="11" t="inlineStr">
        <is>
          <t>18/01/2026</t>
        </is>
      </c>
      <c r="C11" s="11" t="inlineStr">
        <is>
          <t>Software</t>
        </is>
      </c>
      <c r="D11" s="25" t="inlineStr">
        <is>
          <t>Forza Motorsport</t>
        </is>
      </c>
      <c r="E11" s="25" t="inlineStr">
        <is>
          <t>Xbox Series / PC</t>
        </is>
      </c>
      <c r="F11" s="11" t="inlineStr">
        <is>
          <t>Xbox Digital Store</t>
        </is>
      </c>
      <c r="G11" s="12" t="n">
        <v>200</v>
      </c>
      <c r="H11" s="14" t="n">
        <v>299</v>
      </c>
      <c r="I11" s="14" t="n">
        <v>15</v>
      </c>
      <c r="J11" s="14">
        <f>(G11*H11)-I11</f>
        <v/>
      </c>
    </row>
    <row r="12">
      <c r="A12" s="17" t="inlineStr">
        <is>
          <t>TX-1005</t>
        </is>
      </c>
      <c r="B12" s="17" t="inlineStr">
        <is>
          <t>22/01/2026</t>
        </is>
      </c>
      <c r="C12" s="17" t="inlineStr">
        <is>
          <t>Acessórios</t>
        </is>
      </c>
      <c r="D12" s="24" t="inlineStr">
        <is>
          <t>Controle Sem Fio Xbox - Carbon Black</t>
        </is>
      </c>
      <c r="E12" s="24" t="inlineStr">
        <is>
          <t>Acessório</t>
        </is>
      </c>
      <c r="F12" s="17" t="inlineStr">
        <is>
          <t>Varejo Físico</t>
        </is>
      </c>
      <c r="G12" s="18" t="n">
        <v>80</v>
      </c>
      <c r="H12" s="20" t="n">
        <v>499</v>
      </c>
      <c r="I12" s="20" t="n">
        <v>20</v>
      </c>
      <c r="J12" s="20">
        <f>(G12*H12)-I12</f>
        <v/>
      </c>
    </row>
    <row r="13">
      <c r="A13" s="11" t="inlineStr">
        <is>
          <t>TX-1006</t>
        </is>
      </c>
      <c r="B13" s="11" t="inlineStr">
        <is>
          <t>25/01/2026</t>
        </is>
      </c>
      <c r="C13" s="11" t="inlineStr">
        <is>
          <t>Headset Sem Fio Xbox</t>
        </is>
      </c>
      <c r="D13" s="25" t="inlineStr">
        <is>
          <t>Acessórios</t>
        </is>
      </c>
      <c r="E13" s="25" t="inlineStr">
        <is>
          <t>Acessório</t>
        </is>
      </c>
      <c r="F13" s="11" t="inlineStr">
        <is>
          <t>Loja Oficial MS</t>
        </is>
      </c>
      <c r="G13" s="12" t="n">
        <v>40</v>
      </c>
      <c r="H13" s="14" t="n">
        <v>899</v>
      </c>
      <c r="I13" s="14" t="n">
        <v>50</v>
      </c>
      <c r="J13" s="14">
        <f>(G13*H13)-I13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6" t="inlineStr">
        <is>
          <t>TOTAL CONSOLIDADO</t>
        </is>
      </c>
      <c r="G100" s="22">
        <f>SUM(G8:G99)</f>
        <v/>
      </c>
      <c r="J100" s="13">
        <f>SUM(J8:J99)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2" customWidth="1" min="3" max="3"/>
    <col width="20" customWidth="1" min="4" max="4"/>
    <col width="21" customWidth="1" min="5" max="5"/>
    <col width="28" customWidth="1" min="6" max="6"/>
    <col width="26" customWidth="1" min="7" max="7"/>
  </cols>
  <sheetData>
    <row r="1">
      <c r="A1" s="1" t="inlineStr">
        <is>
          <t>RECEITA RECORRENTE DE SERVIÇOS — GAME PASS &amp; CLOUD</t>
        </is>
      </c>
    </row>
    <row r="2">
      <c r="A2" s="2" t="inlineStr">
        <is>
          <t>Acompanhamento de receita de serviços digitais.</t>
        </is>
      </c>
    </row>
    <row r="3"/>
    <row r="4"/>
    <row r="5"/>
    <row r="6"/>
    <row r="7">
      <c r="A7" s="9" t="inlineStr">
        <is>
          <t>Plano de Assinatura</t>
        </is>
      </c>
      <c r="B7" s="9" t="inlineStr">
        <is>
          <t>Região / Mercado</t>
        </is>
      </c>
      <c r="C7" s="9" t="inlineStr">
        <is>
          <t>Preço Mensal (R$)</t>
        </is>
      </c>
      <c r="D7" s="9" t="inlineStr">
        <is>
          <t>Duração (Meses)</t>
        </is>
      </c>
      <c r="E7" s="9" t="inlineStr">
        <is>
          <t>Total Assinantes</t>
        </is>
      </c>
      <c r="F7" s="9" t="inlineStr">
        <is>
          <t>Receita Recorrente (R$)</t>
        </is>
      </c>
      <c r="G7" s="9" t="inlineStr">
        <is>
          <t>Status / Retenção</t>
        </is>
      </c>
    </row>
    <row r="8">
      <c r="A8" s="24" t="inlineStr">
        <is>
          <t>Xbox Game Pass Ultimate</t>
        </is>
      </c>
      <c r="B8" s="17" t="inlineStr">
        <is>
          <t>Brasil / América Latina</t>
        </is>
      </c>
      <c r="C8" s="20" t="n">
        <v>59.99</v>
      </c>
      <c r="D8" s="18" t="n">
        <v>12</v>
      </c>
      <c r="E8" s="18" t="n">
        <v>120000</v>
      </c>
      <c r="F8" s="20">
        <f>C8*D8*E8</f>
        <v/>
      </c>
      <c r="G8" s="17" t="inlineStr">
        <is>
          <t>Ativo - Alta Retenção</t>
        </is>
      </c>
    </row>
    <row r="9">
      <c r="A9" s="25" t="inlineStr">
        <is>
          <t>Xbox Game Pass PC</t>
        </is>
      </c>
      <c r="B9" s="11" t="inlineStr">
        <is>
          <t>Brasil / América Latina</t>
        </is>
      </c>
      <c r="C9" s="14" t="n">
        <v>35.99</v>
      </c>
      <c r="D9" s="12" t="n">
        <v>12</v>
      </c>
      <c r="E9" s="12" t="n">
        <v>45000</v>
      </c>
      <c r="F9" s="14">
        <f>C9*D9*E9</f>
        <v/>
      </c>
      <c r="G9" s="11" t="inlineStr">
        <is>
          <t>Ativo - Crescimento</t>
        </is>
      </c>
    </row>
    <row r="10">
      <c r="A10" s="24" t="inlineStr">
        <is>
          <t>Xbox Game Pass Core</t>
        </is>
      </c>
      <c r="B10" s="17" t="inlineStr">
        <is>
          <t>Brasil / América Latina</t>
        </is>
      </c>
      <c r="C10" s="20" t="n">
        <v>34.99</v>
      </c>
      <c r="D10" s="18" t="n">
        <v>12</v>
      </c>
      <c r="E10" s="18" t="n">
        <v>30000</v>
      </c>
      <c r="F10" s="20">
        <f>C10*D10*E10</f>
        <v/>
      </c>
      <c r="G10" s="17" t="inlineStr">
        <is>
          <t>Ativo - Estável</t>
        </is>
      </c>
    </row>
    <row r="11">
      <c r="A11" s="25" t="inlineStr">
        <is>
          <t>Xbox Cloud Gaming (Standalone)</t>
        </is>
      </c>
      <c r="B11" s="11" t="inlineStr">
        <is>
          <t>Global</t>
        </is>
      </c>
      <c r="C11" s="14" t="n">
        <v>49.99</v>
      </c>
      <c r="D11" s="12" t="n">
        <v>12</v>
      </c>
      <c r="E11" s="12" t="n">
        <v>15000</v>
      </c>
      <c r="F11" s="14">
        <f>C11*D11*E11</f>
        <v/>
      </c>
      <c r="G11" s="11" t="inlineStr">
        <is>
          <t>Ativo - Expansão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6" t="inlineStr">
        <is>
          <t>TOTAL CONSOLIDADO</t>
        </is>
      </c>
      <c r="E100" s="22">
        <f>SUM(E8:E99)</f>
        <v/>
      </c>
      <c r="F100" s="13">
        <f>SUM(F8:F99)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9" customWidth="1" min="3" max="3"/>
    <col width="24" customWidth="1" min="4" max="4"/>
    <col width="25" customWidth="1" min="5" max="5"/>
    <col width="24" customWidth="1" min="6" max="6"/>
    <col width="22" customWidth="1" min="7" max="7"/>
    <col width="18" customWidth="1" min="8" max="8"/>
  </cols>
  <sheetData>
    <row r="1">
      <c r="A1" s="1" t="inlineStr">
        <is>
          <t>CONTROLE DE ESTOQUE E MARGEM DE HARDWARE</t>
        </is>
      </c>
    </row>
    <row r="2">
      <c r="A2" s="2" t="inlineStr">
        <is>
          <t>Gestão de custos e margens de hardware.</t>
        </is>
      </c>
    </row>
    <row r="3"/>
    <row r="4"/>
    <row r="5"/>
    <row r="6"/>
    <row r="7">
      <c r="A7" s="9" t="inlineStr">
        <is>
          <t>Modelo / Dispositivo</t>
        </is>
      </c>
      <c r="B7" s="9" t="inlineStr">
        <is>
          <t>Cor / Edição Especial</t>
        </is>
      </c>
      <c r="C7" s="9" t="inlineStr">
        <is>
          <t>Custo de Fabricação (R$)</t>
        </is>
      </c>
      <c r="D7" s="9" t="inlineStr">
        <is>
          <t>Preço de Venda (R$)</t>
        </is>
      </c>
      <c r="E7" s="9" t="inlineStr">
        <is>
          <t>Margem Unitária (R$)</t>
        </is>
      </c>
      <c r="F7" s="9" t="inlineStr">
        <is>
          <t>Unidades Produzidas</t>
        </is>
      </c>
      <c r="G7" s="9" t="inlineStr">
        <is>
          <t>Unidades Vendidas</t>
        </is>
      </c>
      <c r="H7" s="9" t="inlineStr">
        <is>
          <t>Estoque Atual</t>
        </is>
      </c>
    </row>
    <row r="8">
      <c r="A8" s="24" t="inlineStr">
        <is>
          <t>Xbox Series X</t>
        </is>
      </c>
      <c r="B8" s="17" t="inlineStr">
        <is>
          <t>Preto Padrão 1TB</t>
        </is>
      </c>
      <c r="C8" s="20" t="n">
        <v>3800</v>
      </c>
      <c r="D8" s="20" t="n">
        <v>4499</v>
      </c>
      <c r="E8" s="20">
        <f>D8-C8</f>
        <v/>
      </c>
      <c r="F8" s="18" t="n">
        <v>15000</v>
      </c>
      <c r="G8" s="18" t="n">
        <v>12500</v>
      </c>
      <c r="H8" s="18">
        <f>F8-G8</f>
        <v/>
      </c>
    </row>
    <row r="9">
      <c r="A9" s="25" t="inlineStr">
        <is>
          <t>Xbox Series X</t>
        </is>
      </c>
      <c r="B9" s="11" t="inlineStr">
        <is>
          <t>Edição Especial Digital 2TB</t>
        </is>
      </c>
      <c r="C9" s="14" t="n">
        <v>4100</v>
      </c>
      <c r="D9" s="14" t="n">
        <v>4999</v>
      </c>
      <c r="E9" s="14">
        <f>D9-C9</f>
        <v/>
      </c>
      <c r="F9" s="12" t="n">
        <v>5000</v>
      </c>
      <c r="G9" s="12" t="n">
        <v>4200</v>
      </c>
      <c r="H9" s="12">
        <f>F9-G9</f>
        <v/>
      </c>
    </row>
    <row r="10">
      <c r="A10" s="24" t="inlineStr">
        <is>
          <t>Xbox Series S</t>
        </is>
      </c>
      <c r="B10" s="17" t="inlineStr">
        <is>
          <t>Branco 512GB</t>
        </is>
      </c>
      <c r="C10" s="20" t="n">
        <v>2100</v>
      </c>
      <c r="D10" s="20" t="n">
        <v>2699</v>
      </c>
      <c r="E10" s="20">
        <f>D10-C10</f>
        <v/>
      </c>
      <c r="F10" s="18" t="n">
        <v>30000</v>
      </c>
      <c r="G10" s="18" t="n">
        <v>28000</v>
      </c>
      <c r="H10" s="18">
        <f>F10-G10</f>
        <v/>
      </c>
    </row>
    <row r="11">
      <c r="A11" s="25" t="inlineStr">
        <is>
          <t>Xbox Series S</t>
        </is>
      </c>
      <c r="B11" s="11" t="inlineStr">
        <is>
          <t>Preto 1TB</t>
        </is>
      </c>
      <c r="C11" s="14" t="n">
        <v>2300</v>
      </c>
      <c r="D11" s="14" t="n">
        <v>2999</v>
      </c>
      <c r="E11" s="14">
        <f>D11-C11</f>
        <v/>
      </c>
      <c r="F11" s="12" t="n">
        <v>12000</v>
      </c>
      <c r="G11" s="12" t="n">
        <v>9800</v>
      </c>
      <c r="H11" s="12">
        <f>F11-G11</f>
        <v/>
      </c>
    </row>
    <row r="12">
      <c r="A12" s="24" t="inlineStr">
        <is>
          <t>Controle Elite Series 2</t>
        </is>
      </c>
      <c r="B12" s="17" t="inlineStr">
        <is>
          <t>Preto / Emborrachado</t>
        </is>
      </c>
      <c r="C12" s="20" t="n">
        <v>650</v>
      </c>
      <c r="D12" s="20" t="n">
        <v>1199</v>
      </c>
      <c r="E12" s="20">
        <f>D12-C12</f>
        <v/>
      </c>
      <c r="F12" s="18" t="n">
        <v>8000</v>
      </c>
      <c r="G12" s="18" t="n">
        <v>6900</v>
      </c>
      <c r="H12" s="18">
        <f>F12-G12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6" t="inlineStr">
        <is>
          <t>TOTAL CONSOLIDADO</t>
        </is>
      </c>
      <c r="F100" s="22">
        <f>SUM(F8:F99)</f>
        <v/>
      </c>
      <c r="G100" s="22">
        <f>SUM(G8:G99)</f>
        <v/>
      </c>
      <c r="H100" s="22">
        <f>SUM(H8:H99)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4" customWidth="1" min="3" max="3"/>
    <col width="27" customWidth="1" min="4" max="4"/>
    <col width="20" customWidth="1" min="5" max="5"/>
    <col width="30" customWidth="1" min="6" max="6"/>
  </cols>
  <sheetData>
    <row r="1">
      <c r="A1" s="1" t="inlineStr">
        <is>
          <t>DESEMPENHO POR REGIÃO E CUMPRIMENTO DE METAS</t>
        </is>
      </c>
    </row>
    <row r="2">
      <c r="A2" s="2" t="inlineStr">
        <is>
          <t>Metas e realizados regionais.</t>
        </is>
      </c>
    </row>
    <row r="3"/>
    <row r="4"/>
    <row r="5"/>
    <row r="6"/>
    <row r="7">
      <c r="A7" s="9" t="inlineStr">
        <is>
          <t>Região / Território</t>
        </is>
      </c>
      <c r="B7" s="9" t="inlineStr">
        <is>
          <t>Gerente Regional</t>
        </is>
      </c>
      <c r="C7" s="9" t="inlineStr">
        <is>
          <t>Meta de Vendas (R$)</t>
        </is>
      </c>
      <c r="D7" s="9" t="inlineStr">
        <is>
          <t>Receita Realizada (R$)</t>
        </is>
      </c>
      <c r="E7" s="9" t="inlineStr">
        <is>
          <t>Atingimento (%)</t>
        </is>
      </c>
      <c r="F7" s="9" t="inlineStr">
        <is>
          <t>Participação no Total (%)</t>
        </is>
      </c>
    </row>
    <row r="8">
      <c r="A8" s="24" t="inlineStr">
        <is>
          <t>América do Norte (NA)</t>
        </is>
      </c>
      <c r="B8" s="17" t="inlineStr">
        <is>
          <t>John Smith</t>
        </is>
      </c>
      <c r="C8" s="20" t="n">
        <v>50000000</v>
      </c>
      <c r="D8" s="20" t="n">
        <v>52500000</v>
      </c>
      <c r="E8" s="24">
        <f>D8/C8</f>
        <v/>
      </c>
      <c r="F8" s="24">
        <f>D8/$D$13</f>
        <v/>
      </c>
    </row>
    <row r="9">
      <c r="A9" s="25" t="inlineStr">
        <is>
          <t>Europa / UK (EMEA)</t>
        </is>
      </c>
      <c r="B9" s="11" t="inlineStr">
        <is>
          <t>Elena Rostova</t>
        </is>
      </c>
      <c r="C9" s="14" t="n">
        <v>35000000</v>
      </c>
      <c r="D9" s="14" t="n">
        <v>31000000</v>
      </c>
      <c r="E9" s="25">
        <f>D9/C9</f>
        <v/>
      </c>
      <c r="F9" s="25">
        <f>D9/$D$13</f>
        <v/>
      </c>
    </row>
    <row r="10">
      <c r="A10" s="24" t="inlineStr">
        <is>
          <t>América Latina (LATAM)</t>
        </is>
      </c>
      <c r="B10" s="17" t="inlineStr">
        <is>
          <t>Lucas Padroni</t>
        </is>
      </c>
      <c r="C10" s="20" t="n">
        <v>15000000</v>
      </c>
      <c r="D10" s="20" t="n">
        <v>18200000</v>
      </c>
      <c r="E10" s="24">
        <f>D10/C10</f>
        <v/>
      </c>
      <c r="F10" s="24">
        <f>D10/$D$13</f>
        <v/>
      </c>
    </row>
    <row r="11">
      <c r="A11" s="25" t="inlineStr">
        <is>
          <t>Ásia-Pacífico (APAC)</t>
        </is>
      </c>
      <c r="B11" s="11" t="inlineStr">
        <is>
          <t>Kenji Sato</t>
        </is>
      </c>
      <c r="C11" s="14" t="n">
        <v>20000000</v>
      </c>
      <c r="D11" s="14" t="n">
        <v>16500000</v>
      </c>
      <c r="E11" s="25">
        <f>D11/C11</f>
        <v/>
      </c>
      <c r="F11" s="25">
        <f>D11/$D$13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6" t="inlineStr">
        <is>
          <t>TOTAL CONSOLIDADO</t>
        </is>
      </c>
      <c r="C100" s="13">
        <f>SUM(C8:C99)</f>
        <v/>
      </c>
      <c r="D100" s="13">
        <f>SUM(D8:D99)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2026-09-04T16:29:47Z</dcterms:created>
  <dcterms:modified xmlns:dcterms="http://purl.org/dc/terms/" xmlns:xsi="http://www.w3.org/2001/XMLSchema-instance" xsi:type="dcterms:W3CDTF">2026-09-04T16:29:47Z</dcterms:modified>
</cp:coreProperties>
</file>